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<sst xmlns="http://schemas.openxmlformats.org/spreadsheetml/2006/main" uniqueCount="35">
  <si>
    <t>БЕЗ BRaiN HR</t>
  </si>
  <si>
    <t>C BRaiN HR</t>
  </si>
  <si>
    <r>
      <rPr>
        <b val="1"/>
        <sz val="11"/>
        <color indexed="8"/>
        <rFont val="Calibri"/>
      </rPr>
      <t>ФОТ</t>
    </r>
    <r>
      <rPr>
        <sz val="11"/>
        <color indexed="8"/>
        <rFont val="Calibri"/>
      </rPr>
      <t xml:space="preserve"> рекрутера</t>
    </r>
  </si>
  <si>
    <t>ФОТ рекрутера</t>
  </si>
  <si>
    <r>
      <rPr>
        <b val="1"/>
        <sz val="11"/>
        <color indexed="8"/>
        <rFont val="Calibri"/>
      </rPr>
      <t>ФОТ</t>
    </r>
    <r>
      <rPr>
        <sz val="11"/>
        <color indexed="8"/>
        <rFont val="Calibri"/>
      </rPr>
      <t xml:space="preserve"> руководителя</t>
    </r>
  </si>
  <si>
    <t>ФОТ руководителя</t>
  </si>
  <si>
    <t>Стоимость</t>
  </si>
  <si>
    <t>Стоимость часа рекрутера</t>
  </si>
  <si>
    <t>Стоимость часа руководителя</t>
  </si>
  <si>
    <t>Зарплата специалиста по вакансии</t>
  </si>
  <si>
    <t>Стоимость открытой вакансии за 1 день</t>
  </si>
  <si>
    <t>Время подбора</t>
  </si>
  <si>
    <t>Время обработки одного отклика рекрутером (мин)</t>
  </si>
  <si>
    <t>Время обработки одного релевантного кандидата (мин)</t>
  </si>
  <si>
    <t>Время обработки одного резюме нанимающим руководителем (мин)</t>
  </si>
  <si>
    <t>Время закрытия вакнсии (дней)</t>
  </si>
  <si>
    <t>Количество</t>
  </si>
  <si>
    <t>Количество обработанных резюме</t>
  </si>
  <si>
    <t xml:space="preserve">Количество релевантных кандидатов </t>
  </si>
  <si>
    <t>Количество первичных собеседований</t>
  </si>
  <si>
    <t>Количество первичных собеседований с ИИ</t>
  </si>
  <si>
    <t>Присутсвует ли рекрутер на собеседовании с участием рукодителя</t>
  </si>
  <si>
    <t>Да</t>
  </si>
  <si>
    <t>Количество просмотренных руководителем кандидатов</t>
  </si>
  <si>
    <t>Количество собеседований с руководителем</t>
  </si>
  <si>
    <t>Количество повторных собеседований с руководителем</t>
  </si>
  <si>
    <t>Итого стоимость закрытия вакансии</t>
  </si>
  <si>
    <t xml:space="preserve">Итого стоимость закрытия вакансии с BRaiN HR </t>
  </si>
  <si>
    <t>Стоимость рекрутера</t>
  </si>
  <si>
    <t>Стоимость руководителя</t>
  </si>
  <si>
    <t>Цена простоя открытой позиции</t>
  </si>
  <si>
    <t>Стоимость BRaiN HR (пакет 150 интервью)</t>
  </si>
  <si>
    <t>Выгода на 1 вакансии</t>
  </si>
  <si>
    <t xml:space="preserve">Внесите данные в ячейки зеленого цвета </t>
  </si>
  <si>
    <r>
      <rPr>
        <sz val="11"/>
        <color indexed="8"/>
        <rFont val="Calibri"/>
      </rPr>
      <t xml:space="preserve">В таблице приведены ориентировочные (средние) данные для расчета затрат на поиск по одной вакансии. Для персонализированного расчета введите ваши значения в столбцы В и Е
</t>
    </r>
    <r>
      <rPr>
        <sz val="11"/>
        <color indexed="8"/>
        <rFont val="Calibri"/>
      </rPr>
      <t xml:space="preserve">Стоимость открытой вакансии основана на HR-исследованиях и зависит от вакансии. 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</si>
</sst>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18"/>
      <color indexed="8"/>
      <name val="Calibri"/>
    </font>
    <font>
      <b val="1"/>
      <sz val="11"/>
      <color indexed="8"/>
      <name val="Calibri"/>
    </font>
    <font>
      <b val="1"/>
      <sz val="11"/>
      <color indexed="15"/>
      <name val="Calibri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4" fillId="3" borderId="1" applyNumberFormat="0" applyFont="1" applyFill="1" applyBorder="1" applyAlignment="1" applyProtection="0">
      <alignment horizontal="center" vertical="center"/>
    </xf>
    <xf numFmtId="0" fontId="2" borderId="1" applyNumberFormat="0" applyFont="1" applyFill="0" applyBorder="1" applyAlignment="1" applyProtection="0">
      <alignment vertical="bottom"/>
    </xf>
    <xf numFmtId="49" fontId="4" fillId="4" borderId="1" applyNumberFormat="1" applyFont="1" applyFill="1" applyBorder="1" applyAlignment="1" applyProtection="0">
      <alignment horizontal="center" vertical="center"/>
    </xf>
    <xf numFmtId="0" fontId="5" fillId="5" borderId="1" applyNumberFormat="0" applyFont="1" applyFill="1" applyBorder="1" applyAlignment="1" applyProtection="0">
      <alignment vertical="bottom" wrapText="1"/>
    </xf>
    <xf numFmtId="49" fontId="2" borderId="1" applyNumberFormat="1" applyFont="1" applyFill="0" applyBorder="1" applyAlignment="1" applyProtection="0">
      <alignment vertical="bottom"/>
    </xf>
    <xf numFmtId="4" fontId="5" fillId="6" borderId="1" applyNumberFormat="1" applyFont="1" applyFill="1" applyBorder="1" applyAlignment="1" applyProtection="0">
      <alignment vertical="bottom"/>
    </xf>
    <xf numFmtId="4" fontId="2" fillId="6" borderId="1" applyNumberFormat="1" applyFont="1" applyFill="1" applyBorder="1" applyAlignment="1" applyProtection="0">
      <alignment vertical="bottom"/>
    </xf>
    <xf numFmtId="0" fontId="2" fillId="5" borderId="1" applyNumberFormat="0" applyFont="1" applyFill="1" applyBorder="1" applyAlignment="1" applyProtection="0">
      <alignment vertical="bottom" wrapText="1"/>
    </xf>
    <xf numFmtId="49" fontId="5" fillId="5" borderId="1" applyNumberFormat="1" applyFont="1" applyFill="1" applyBorder="1" applyAlignment="1" applyProtection="0">
      <alignment vertical="bottom" wrapText="1"/>
    </xf>
    <xf numFmtId="49" fontId="2" fillId="5" borderId="1" applyNumberFormat="1" applyFont="1" applyFill="1" applyBorder="1" applyAlignment="1" applyProtection="0">
      <alignment vertical="bottom" wrapText="1"/>
    </xf>
    <xf numFmtId="0" fontId="2" fillId="6" borderId="1" applyNumberFormat="1" applyFont="1" applyFill="1" applyBorder="1" applyAlignment="1" applyProtection="0">
      <alignment vertical="bottom"/>
    </xf>
    <xf numFmtId="0" fontId="2" borderId="1" applyNumberFormat="1" applyFont="1" applyFill="0" applyBorder="1" applyAlignment="1" applyProtection="0">
      <alignment vertical="bottom"/>
    </xf>
    <xf numFmtId="0" fontId="5" fillId="6" borderId="1" applyNumberFormat="1" applyFont="1" applyFill="1" applyBorder="1" applyAlignment="1" applyProtection="0">
      <alignment vertical="bottom"/>
    </xf>
    <xf numFmtId="0" fontId="5" borderId="1" applyNumberFormat="1" applyFont="1" applyFill="0" applyBorder="1" applyAlignment="1" applyProtection="0">
      <alignment vertical="bottom"/>
    </xf>
    <xf numFmtId="0" fontId="2" fillId="7" borderId="1" applyNumberFormat="1" applyFont="1" applyFill="1" applyBorder="1" applyAlignment="1" applyProtection="0">
      <alignment vertical="bottom"/>
    </xf>
    <xf numFmtId="49" fontId="2" borderId="1" applyNumberFormat="1" applyFont="1" applyFill="0" applyBorder="1" applyAlignment="1" applyProtection="0">
      <alignment horizontal="right" vertical="bottom"/>
    </xf>
    <xf numFmtId="0" fontId="2" borderId="1" applyNumberFormat="1" applyFont="1" applyFill="0" applyBorder="1" applyAlignment="1" applyProtection="0">
      <alignment horizontal="right" vertical="bottom"/>
    </xf>
    <xf numFmtId="4" fontId="6" fillId="8" borderId="1" applyNumberFormat="1" applyFont="1" applyFill="1" applyBorder="1" applyAlignment="1" applyProtection="0">
      <alignment vertical="bottom"/>
    </xf>
    <xf numFmtId="4" fontId="5" fillId="8" borderId="1" applyNumberFormat="1" applyFont="1" applyFill="1" applyBorder="1" applyAlignment="1" applyProtection="0">
      <alignment vertical="bottom"/>
    </xf>
    <xf numFmtId="4" fontId="2" borderId="1" applyNumberFormat="1" applyFont="1" applyFill="0" applyBorder="1" applyAlignment="1" applyProtection="0">
      <alignment vertical="bottom"/>
    </xf>
    <xf numFmtId="4" fontId="5" fillId="7" borderId="1" applyNumberFormat="1" applyFont="1" applyFill="1" applyBorder="1" applyAlignment="1" applyProtection="0">
      <alignment vertical="bottom"/>
    </xf>
    <xf numFmtId="49" fontId="2" fillId="6" borderId="1" applyNumberFormat="1" applyFont="1" applyFill="1" applyBorder="1" applyAlignment="1" applyProtection="0">
      <alignment vertical="bottom"/>
    </xf>
    <xf numFmtId="49" fontId="2" fillId="9" borderId="1" applyNumberFormat="1" applyFont="1" applyFill="1" applyBorder="1" applyAlignment="1" applyProtection="0">
      <alignment horizontal="left" vertical="top" wrapText="1"/>
    </xf>
    <xf numFmtId="0" fontId="2" fillId="9" borderId="1" applyNumberFormat="0" applyFont="1" applyFill="1" applyBorder="1" applyAlignment="1" applyProtection="0">
      <alignment horizontal="center" vertical="top" wrapText="1"/>
    </xf>
    <xf numFmtId="0" fontId="2" borderId="1" applyNumberFormat="0" applyFont="1" applyFill="0" applyBorder="1" applyAlignment="1" applyProtection="0">
      <alignment horizontal="left"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4b4df"/>
      <rgbColor rgb="ffffc000"/>
      <rgbColor rgb="ff70ad47"/>
      <rgbColor rgb="ffffffff"/>
      <rgbColor rgb="ffb7d6a3"/>
      <rgbColor rgb="fff6be98"/>
      <rgbColor rgb="ffff0000"/>
      <rgbColor rgb="ffadcdea"/>
      <rgbColor rgb="ffe7e6e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9"/>
  <sheetViews>
    <sheetView workbookViewId="0" showGridLines="0" defaultGridColor="1"/>
  </sheetViews>
  <sheetFormatPr defaultColWidth="8.83333" defaultRowHeight="15.4" customHeight="1" outlineLevelRow="0" outlineLevelCol="0"/>
  <cols>
    <col min="1" max="1" width="38.1719" style="1" customWidth="1"/>
    <col min="2" max="2" width="22.0781" style="1" customWidth="1"/>
    <col min="3" max="3" width="13.9844" style="1" customWidth="1"/>
    <col min="4" max="4" width="42.1094" style="1" customWidth="1"/>
    <col min="5" max="5" width="14.1719" style="1" customWidth="1"/>
    <col min="6" max="16384" width="8.85156" style="1" customWidth="1"/>
  </cols>
  <sheetData>
    <row r="1" ht="14.4" customHeight="1">
      <c r="A1" t="s" s="2">
        <v>0</v>
      </c>
      <c r="B1" s="3"/>
      <c r="C1" s="4"/>
      <c r="D1" t="s" s="5">
        <v>1</v>
      </c>
      <c r="E1" s="3"/>
    </row>
    <row r="2" ht="14.4" customHeight="1">
      <c r="A2" s="3"/>
      <c r="B2" s="3"/>
      <c r="C2" s="4"/>
      <c r="D2" s="3"/>
      <c r="E2" s="3"/>
    </row>
    <row r="3" ht="13.55" customHeight="1">
      <c r="A3" s="6"/>
      <c r="B3" s="4"/>
      <c r="C3" s="4"/>
      <c r="D3" s="6"/>
      <c r="E3" s="4"/>
    </row>
    <row r="4" ht="13.55" customHeight="1">
      <c r="A4" t="s" s="7">
        <v>2</v>
      </c>
      <c r="B4" s="8">
        <v>80000</v>
      </c>
      <c r="C4" s="4"/>
      <c r="D4" t="s" s="7">
        <v>3</v>
      </c>
      <c r="E4" s="9" cm="1">
        <f t="array" ref="E4">B4</f>
        <v>80000</v>
      </c>
    </row>
    <row r="5" ht="13.55" customHeight="1">
      <c r="A5" t="s" s="7">
        <v>4</v>
      </c>
      <c r="B5" s="8">
        <v>150000</v>
      </c>
      <c r="C5" s="4"/>
      <c r="D5" t="s" s="7">
        <v>5</v>
      </c>
      <c r="E5" s="9" cm="1">
        <f t="array" ref="E5">B5</f>
        <v>150000</v>
      </c>
    </row>
    <row r="6" ht="13.55" customHeight="1">
      <c r="A6" s="10"/>
      <c r="B6" s="4"/>
      <c r="C6" s="4"/>
      <c r="D6" s="10"/>
      <c r="E6" s="4"/>
    </row>
    <row r="7" ht="13.55" customHeight="1">
      <c r="A7" t="s" s="11">
        <v>6</v>
      </c>
      <c r="B7" s="4"/>
      <c r="C7" s="4"/>
      <c r="D7" t="s" s="11">
        <v>6</v>
      </c>
      <c r="E7" s="4"/>
    </row>
    <row r="8" ht="13.55" customHeight="1">
      <c r="A8" t="s" s="12">
        <v>7</v>
      </c>
      <c r="B8" s="9" cm="1">
        <f t="array" ref="B8">B4/170</f>
        <v>470.588235294118</v>
      </c>
      <c r="C8" s="4"/>
      <c r="D8" t="s" s="12">
        <v>7</v>
      </c>
      <c r="E8" s="9" cm="1">
        <f t="array" ref="E8">E4/170</f>
        <v>470.588235294118</v>
      </c>
    </row>
    <row r="9" ht="13.55" customHeight="1">
      <c r="A9" t="s" s="12">
        <v>8</v>
      </c>
      <c r="B9" s="9" cm="1">
        <f t="array" ref="B9">B5/170</f>
        <v>882.3529411764709</v>
      </c>
      <c r="C9" s="4"/>
      <c r="D9" t="s" s="12">
        <v>8</v>
      </c>
      <c r="E9" s="9" cm="1">
        <f t="array" ref="E9">E5/170</f>
        <v>882.3529411764709</v>
      </c>
    </row>
    <row r="10" ht="13.55" customHeight="1">
      <c r="A10" t="s" s="12">
        <v>9</v>
      </c>
      <c r="B10" s="9">
        <v>100000</v>
      </c>
      <c r="C10" s="4"/>
      <c r="D10" t="s" s="12">
        <v>9</v>
      </c>
      <c r="E10" s="9" cm="1">
        <f t="array" ref="E10">B10</f>
        <v>100000</v>
      </c>
    </row>
    <row r="11" ht="13.55" customHeight="1">
      <c r="A11" t="s" s="12">
        <v>10</v>
      </c>
      <c r="B11" s="8" cm="1">
        <f t="array" ref="B11">B10/21</f>
        <v>4761.904761904760</v>
      </c>
      <c r="C11" s="4"/>
      <c r="D11" t="s" s="12">
        <v>10</v>
      </c>
      <c r="E11" s="8" cm="1">
        <f t="array" ref="E11">E10/21</f>
        <v>4761.904761904760</v>
      </c>
    </row>
    <row r="12" ht="13.55" customHeight="1">
      <c r="A12" s="10"/>
      <c r="B12" s="4"/>
      <c r="C12" s="4"/>
      <c r="D12" s="10"/>
      <c r="E12" s="4"/>
    </row>
    <row r="13" ht="13.55" customHeight="1">
      <c r="A13" t="s" s="11">
        <v>11</v>
      </c>
      <c r="B13" s="4"/>
      <c r="C13" s="4"/>
      <c r="D13" t="s" s="11">
        <v>11</v>
      </c>
      <c r="E13" s="4"/>
    </row>
    <row r="14" ht="28.8" customHeight="1">
      <c r="A14" t="s" s="12">
        <v>12</v>
      </c>
      <c r="B14" s="13">
        <v>5</v>
      </c>
      <c r="C14" s="4"/>
      <c r="D14" t="s" s="12">
        <v>12</v>
      </c>
      <c r="E14" s="14">
        <v>0</v>
      </c>
    </row>
    <row r="15" ht="28.8" customHeight="1">
      <c r="A15" t="s" s="12">
        <v>13</v>
      </c>
      <c r="B15" s="13">
        <v>10</v>
      </c>
      <c r="C15" s="4"/>
      <c r="D15" t="s" s="12">
        <v>13</v>
      </c>
      <c r="E15" s="14">
        <v>0</v>
      </c>
    </row>
    <row r="16" ht="28.8" customHeight="1">
      <c r="A16" t="s" s="12">
        <v>14</v>
      </c>
      <c r="B16" s="13">
        <v>10</v>
      </c>
      <c r="C16" s="4"/>
      <c r="D16" t="s" s="12">
        <v>14</v>
      </c>
      <c r="E16" s="14">
        <v>10</v>
      </c>
    </row>
    <row r="17" ht="13.55" customHeight="1">
      <c r="A17" t="s" s="12">
        <v>15</v>
      </c>
      <c r="B17" s="15">
        <v>25</v>
      </c>
      <c r="C17" s="4"/>
      <c r="D17" t="s" s="12">
        <v>15</v>
      </c>
      <c r="E17" s="16">
        <v>7</v>
      </c>
    </row>
    <row r="18" ht="13.55" customHeight="1">
      <c r="A18" s="10"/>
      <c r="B18" s="4"/>
      <c r="C18" s="4"/>
      <c r="D18" s="10"/>
      <c r="E18" s="4"/>
    </row>
    <row r="19" ht="13.55" customHeight="1">
      <c r="A19" t="s" s="11">
        <v>16</v>
      </c>
      <c r="B19" s="4"/>
      <c r="C19" s="4"/>
      <c r="D19" t="s" s="11">
        <v>16</v>
      </c>
      <c r="E19" s="4"/>
    </row>
    <row r="20" ht="13.55" customHeight="1">
      <c r="A20" t="s" s="12">
        <v>17</v>
      </c>
      <c r="B20" s="14">
        <v>500</v>
      </c>
      <c r="C20" s="4"/>
      <c r="D20" t="s" s="12">
        <v>17</v>
      </c>
      <c r="E20" s="14" cm="1">
        <f t="array" ref="E20">B20</f>
        <v>500</v>
      </c>
    </row>
    <row r="21" ht="13.55" customHeight="1">
      <c r="A21" t="s" s="12">
        <v>18</v>
      </c>
      <c r="B21" s="14" cm="1">
        <f t="array" ref="B21">B20*0.6</f>
        <v>300</v>
      </c>
      <c r="C21" s="4"/>
      <c r="D21" t="s" s="12">
        <v>18</v>
      </c>
      <c r="E21" s="14" cm="1">
        <f t="array" ref="E21">E20*0.6</f>
        <v>300</v>
      </c>
    </row>
    <row r="22" ht="13.55" customHeight="1">
      <c r="A22" t="s" s="12">
        <v>19</v>
      </c>
      <c r="B22" s="17" cm="1">
        <f t="array" ref="B22">B21*0.2</f>
        <v>60</v>
      </c>
      <c r="C22" s="4"/>
      <c r="D22" t="s" s="12">
        <v>20</v>
      </c>
      <c r="E22" s="17">
        <v>150</v>
      </c>
    </row>
    <row r="23" ht="28.8" customHeight="1">
      <c r="A23" t="s" s="12">
        <v>21</v>
      </c>
      <c r="B23" t="s" s="18">
        <v>22</v>
      </c>
      <c r="C23" s="4"/>
      <c r="D23" t="s" s="12">
        <v>21</v>
      </c>
      <c r="E23" t="s" s="18">
        <v>22</v>
      </c>
    </row>
    <row r="24" ht="28.8" customHeight="1">
      <c r="A24" t="s" s="12">
        <v>23</v>
      </c>
      <c r="B24" s="14" cm="1">
        <f t="array" ref="B24">B22*0.4</f>
        <v>24</v>
      </c>
      <c r="C24" s="4"/>
      <c r="D24" t="s" s="12">
        <v>23</v>
      </c>
      <c r="E24" s="14">
        <v>20</v>
      </c>
    </row>
    <row r="25" ht="28.8" customHeight="1">
      <c r="A25" t="s" s="12">
        <v>24</v>
      </c>
      <c r="B25" s="19" cm="1">
        <f t="array" ref="B25">B24*0.5</f>
        <v>12</v>
      </c>
      <c r="C25" s="4"/>
      <c r="D25" t="s" s="12">
        <v>25</v>
      </c>
      <c r="E25" s="19">
        <v>5</v>
      </c>
    </row>
    <row r="26" ht="13.55" customHeight="1">
      <c r="A26" s="4"/>
      <c r="B26" s="4"/>
      <c r="C26" s="4"/>
      <c r="D26" s="4"/>
      <c r="E26" s="4"/>
    </row>
    <row r="27" ht="13.55" customHeight="1">
      <c r="A27" t="s" s="11">
        <v>26</v>
      </c>
      <c r="B27" s="20" cm="1">
        <f t="array" ref="B27">SUM(B29:B31)</f>
        <v>210184.87394958</v>
      </c>
      <c r="C27" s="4"/>
      <c r="D27" t="s" s="11">
        <v>27</v>
      </c>
      <c r="E27" s="21" cm="1">
        <f t="array" ref="E27">SUM(E29:E32)</f>
        <v>70039.2156862745</v>
      </c>
    </row>
    <row r="28" ht="13.55" customHeight="1">
      <c r="A28" s="4"/>
      <c r="B28" s="4"/>
      <c r="C28" s="4"/>
      <c r="D28" s="4"/>
      <c r="E28" s="4"/>
    </row>
    <row r="29" ht="13.55" customHeight="1">
      <c r="A29" t="s" s="12">
        <v>28</v>
      </c>
      <c r="B29" s="22" cm="1">
        <f t="array" ref="B29">(B8*B14/60*B20)+(B8*B15/60*B21)+(B8*B22)+(IF(B23="Да",B8*B25))</f>
        <v>77019.6078431373</v>
      </c>
      <c r="C29" s="4"/>
      <c r="D29" t="s" s="12">
        <v>28</v>
      </c>
      <c r="E29" s="22" cm="1">
        <f t="array" ref="E29">(E25*E8)</f>
        <v>2352.941176470590</v>
      </c>
    </row>
    <row r="30" ht="13.55" customHeight="1">
      <c r="A30" t="s" s="12">
        <v>29</v>
      </c>
      <c r="B30" s="22" cm="1">
        <f t="array" ref="B30">(B9*B24*B16/60)+(B9*B25)</f>
        <v>14117.6470588235</v>
      </c>
      <c r="C30" s="4"/>
      <c r="D30" t="s" s="12">
        <v>29</v>
      </c>
      <c r="E30" s="22" cm="1">
        <f t="array" ref="E30">(E9*E24*E16/60)+(E9*E25)</f>
        <v>7352.941176470590</v>
      </c>
    </row>
    <row r="31" ht="13.55" customHeight="1">
      <c r="A31" t="s" s="12">
        <v>30</v>
      </c>
      <c r="B31" s="22" cm="1">
        <f t="array" ref="B31">B11*B17</f>
        <v>119047.619047619</v>
      </c>
      <c r="C31" s="4"/>
      <c r="D31" t="s" s="12">
        <v>30</v>
      </c>
      <c r="E31" s="22" cm="1">
        <f t="array" ref="E31">E11*E17</f>
        <v>33333.3333333333</v>
      </c>
    </row>
    <row r="32" ht="13.55" customHeight="1">
      <c r="A32" s="4"/>
      <c r="B32" s="4"/>
      <c r="C32" s="4"/>
      <c r="D32" t="s" s="12">
        <v>31</v>
      </c>
      <c r="E32" s="22" cm="1">
        <f t="array" ref="E32">_xlfn.IFS(B22&lt;=50,10000,AND(B22&gt;50,B22&lt;=150),27000,B22&gt;150,80000)</f>
        <v>27000</v>
      </c>
    </row>
    <row r="33" ht="13.55" customHeight="1">
      <c r="A33" s="4"/>
      <c r="B33" s="4"/>
      <c r="C33" s="4"/>
      <c r="D33" s="4"/>
      <c r="E33" s="4"/>
    </row>
    <row r="34" ht="13.55" customHeight="1">
      <c r="A34" s="4"/>
      <c r="B34" s="4"/>
      <c r="C34" s="4"/>
      <c r="D34" t="s" s="11">
        <v>32</v>
      </c>
      <c r="E34" s="23" cm="1">
        <f t="array" ref="E34">B27-E27</f>
        <v>140145.658263306</v>
      </c>
    </row>
    <row r="35" ht="19.2" customHeight="1">
      <c r="A35" t="s" s="24">
        <v>33</v>
      </c>
      <c r="B35" s="4"/>
      <c r="C35" s="4"/>
      <c r="D35" s="4"/>
      <c r="E35" s="4"/>
    </row>
    <row r="36" ht="20" customHeight="1">
      <c r="A36" s="4"/>
      <c r="B36" s="4"/>
      <c r="C36" s="4"/>
      <c r="D36" s="4"/>
      <c r="E36" s="4"/>
    </row>
    <row r="37" ht="13.55" customHeight="1">
      <c r="A37" s="4"/>
      <c r="B37" s="4"/>
      <c r="C37" s="4"/>
      <c r="D37" s="4"/>
      <c r="E37" s="4"/>
    </row>
    <row r="38" ht="65.55" customHeight="1">
      <c r="A38" t="s" s="25">
        <v>34</v>
      </c>
      <c r="B38" s="26"/>
      <c r="C38" s="4"/>
      <c r="D38" s="27"/>
      <c r="E38" s="4"/>
    </row>
    <row r="39" ht="13.55" customHeight="1">
      <c r="A39" s="4"/>
      <c r="B39" s="4"/>
      <c r="C39" s="4"/>
      <c r="D39" s="4"/>
      <c r="E39" s="4"/>
    </row>
  </sheetData>
  <mergeCells count="3">
    <mergeCell ref="A38:B38"/>
    <mergeCell ref="A1:B2"/>
    <mergeCell ref="D1:E2"/>
  </mergeCells>
  <dataValidations count="1">
    <dataValidation type="list" allowBlank="1" showInputMessage="1" showErrorMessage="1" sqref="B23">
      <formula1>"Да,Нет"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